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Council Tax Receipt" sheetId="1" state="visible" r:id="rId1"/>
  </sheets>
  <definedNames>
    <definedName name="_xlnm.Print_Titles" localSheetId="0">'Council Tax Receipt'!$1:$5</definedName>
  </definedNames>
  <calcPr calcId="191029" fullCalcOnLoad="1"/>
</workbook>
</file>

<file path=xl/styles.xml><?xml version="1.0" encoding="utf-8"?>
<styleSheet xmlns="http://schemas.openxmlformats.org/spreadsheetml/2006/main">
  <numFmts count="2">
    <numFmt numFmtId="164" formatCode="DD/MMM/YYYY"/>
    <numFmt numFmtId="165" formatCode="£#,##0.00"/>
  </numFmts>
  <fonts count="29">
    <font>
      <name val="Calibri"/>
      <family val="2"/>
      <color theme="1"/>
      <sz val="11"/>
      <scheme val="minor"/>
    </font>
    <font>
      <name val="Calibri"/>
      <b val="1"/>
      <color rgb="FFFFFFFF"/>
      <sz val="18"/>
    </font>
    <font>
      <name val="Calibri"/>
      <b val="1"/>
      <color rgb="FFFFFFFF"/>
      <sz val="13"/>
    </font>
    <font>
      <name val="Calibri"/>
      <b val="1"/>
      <color rgb="FF1F3864"/>
      <sz val="11"/>
    </font>
    <font>
      <name val="Calibri"/>
      <i val="1"/>
      <color rgb="FF1F3864"/>
      <sz val="11"/>
    </font>
    <font>
      <name val="Calibri"/>
      <b val="1"/>
      <color rgb="FFFFFFFF"/>
      <sz val="10"/>
    </font>
    <font>
      <name val="Calibri"/>
      <sz val="10"/>
    </font>
    <font>
      <name val="Calibri"/>
      <i val="1"/>
      <color rgb="FF808080"/>
      <sz val="9"/>
    </font>
    <font>
      <name val="Calibri"/>
      <family val="2"/>
      <b val="1"/>
      <sz val="10"/>
    </font>
    <font>
      <name val="Calibri"/>
      <b val="1"/>
      <color rgb="00FFFFFF"/>
      <sz val="20"/>
    </font>
    <font>
      <name val="Calibri"/>
      <b val="1"/>
      <color rgb="00FFFFFF"/>
      <sz val="13"/>
    </font>
    <font>
      <name val="Calibri"/>
      <b val="1"/>
      <color rgb="001F3864"/>
      <sz val="11"/>
    </font>
    <font>
      <name val="Calibri"/>
      <b val="1"/>
      <color rgb="00FFFFFF"/>
      <sz val="10"/>
    </font>
    <font>
      <name val="Calibri"/>
      <color rgb="00000000"/>
      <sz val="10"/>
    </font>
    <font>
      <name val="Calibri"/>
      <b val="1"/>
      <color rgb="00000000"/>
      <sz val="10"/>
    </font>
    <font>
      <name val="Calibri"/>
      <b val="1"/>
      <color rgb="001F3864"/>
      <sz val="10"/>
    </font>
    <font>
      <name val="Calibri"/>
      <i val="1"/>
      <color rgb="00595959"/>
      <sz val="9"/>
    </font>
    <font>
      <name val="Calibri"/>
      <b val="1"/>
      <i val="1"/>
      <color rgb="00375623"/>
      <sz val="10"/>
    </font>
    <font>
      <name val="Calibri"/>
      <i val="1"/>
      <color rgb="00595959"/>
      <sz val="10"/>
    </font>
    <font>
      <name val="Calibri"/>
      <b val="1"/>
      <color rgb="00FFFFFF"/>
      <sz val="11"/>
    </font>
    <font>
      <name val="Calibri"/>
      <color rgb="00262626"/>
      <sz val="10"/>
    </font>
    <font>
      <name val="Calibri"/>
      <b val="1"/>
      <color rgb="00FFFFFF"/>
      <sz val="12"/>
    </font>
    <font>
      <name val="Calibri"/>
      <color rgb="001A1A1A"/>
      <sz val="10"/>
    </font>
    <font>
      <name val="Calibri"/>
      <b val="1"/>
      <color rgb="007F3F00"/>
      <sz val="10"/>
    </font>
    <font>
      <name val="Calibri"/>
      <b val="1"/>
      <color rgb="00C00000"/>
      <sz val="10"/>
    </font>
    <font>
      <name val="Calibri"/>
      <b val="1"/>
      <color rgb="001A1A1A"/>
      <sz val="10"/>
    </font>
    <font>
      <name val="Calibri"/>
      <b val="1"/>
      <color rgb="001F4E39"/>
      <sz val="11"/>
    </font>
    <font>
      <name val="Calibri"/>
      <b val="1"/>
      <color rgb="001F4E39"/>
      <sz val="13"/>
    </font>
    <font>
      <name val="Calibri"/>
      <b val="1"/>
      <color rgb="00311B92"/>
      <sz val="10"/>
    </font>
  </fonts>
  <fills count="25">
    <fill>
      <patternFill/>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2F2F2"/>
      </patternFill>
    </fill>
    <fill>
      <patternFill patternType="solid">
        <fgColor rgb="FFFFFFFF"/>
      </patternFill>
    </fill>
    <fill>
      <patternFill patternType="solid">
        <fgColor rgb="001F3864"/>
      </patternFill>
    </fill>
    <fill>
      <patternFill patternType="solid">
        <fgColor rgb="002E75B6"/>
      </patternFill>
    </fill>
    <fill>
      <patternFill patternType="solid">
        <fgColor rgb="00D6E4F0"/>
      </patternFill>
    </fill>
    <fill>
      <patternFill patternType="solid">
        <fgColor rgb="00FFFFFF"/>
      </patternFill>
    </fill>
    <fill>
      <patternFill patternType="solid">
        <fgColor rgb="00EBF3FB"/>
      </patternFill>
    </fill>
    <fill>
      <patternFill patternType="solid">
        <fgColor rgb="00F2F2F2"/>
      </patternFill>
    </fill>
    <fill>
      <patternFill patternType="solid">
        <fgColor rgb="00E2EFDA"/>
      </patternFill>
    </fill>
    <fill>
      <patternFill patternType="solid">
        <fgColor rgb="00D9E1F2"/>
      </patternFill>
    </fill>
    <fill>
      <patternFill patternType="solid">
        <fgColor rgb="00F2F7FF"/>
      </patternFill>
    </fill>
    <fill>
      <patternFill patternType="solid">
        <fgColor rgb="00E8F0FE"/>
      </patternFill>
    </fill>
    <fill>
      <patternFill patternType="solid">
        <fgColor rgb="00FFF4E0"/>
      </patternFill>
    </fill>
    <fill>
      <patternFill patternType="solid">
        <fgColor rgb="00FFFBF3"/>
      </patternFill>
    </fill>
    <fill>
      <patternFill patternType="solid">
        <fgColor rgb="00FFE7E7"/>
      </patternFill>
    </fill>
    <fill>
      <patternFill patternType="solid">
        <fgColor rgb="00FFF5F5"/>
      </patternFill>
    </fill>
    <fill>
      <patternFill patternType="solid">
        <fgColor rgb="00EBF5EB"/>
      </patternFill>
    </fill>
    <fill>
      <patternFill patternType="solid">
        <fgColor rgb="00C6EFCE"/>
      </patternFill>
    </fill>
    <fill>
      <patternFill patternType="solid">
        <fgColor rgb="00EDE7F6"/>
      </patternFill>
    </fill>
    <fill>
      <patternFill patternType="solid">
        <fgColor rgb="00F5F0FF"/>
      </patternFill>
    </fill>
  </fills>
  <borders count="7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border>
      <left style="thin">
        <color rgb="00BFBFBF"/>
      </left>
      <right style="thin">
        <color rgb="00BFBFBF"/>
      </right>
      <top style="medium">
        <color rgb="001F3864"/>
      </top>
      <bottom style="thin">
        <color rgb="00BFBFBF"/>
      </bottom>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2E75B6"/>
      </top>
      <bottom style="thin">
        <color rgb="00BFBFBF"/>
      </bottom>
    </border>
    <border>
      <left/>
      <right/>
      <top style="medium">
        <color rgb="002E75B6"/>
      </top>
      <bottom/>
      <diagonal/>
    </border>
    <border>
      <left/>
      <right style="thin">
        <color rgb="00BFBFBF"/>
      </right>
      <top style="medium">
        <color rgb="002E75B6"/>
      </top>
      <bottom/>
      <diagonal/>
    </border>
    <border>
      <left/>
      <right/>
      <top style="medium">
        <color rgb="002E75B6"/>
      </top>
      <bottom style="thin">
        <color rgb="00BFBFBF"/>
      </bottom>
      <diagonal/>
    </border>
    <border>
      <left/>
      <right style="thin">
        <color rgb="00BFBFBF"/>
      </right>
      <top style="medium">
        <color rgb="002E75B6"/>
      </top>
      <bottom style="thin">
        <color rgb="00BFBFBF"/>
      </bottom>
      <diagonal/>
    </border>
    <border>
      <left style="medium">
        <color rgb="002E75B6"/>
      </left>
      <right style="medium">
        <color rgb="002E75B6"/>
      </right>
      <top style="medium">
        <color rgb="002E75B6"/>
      </top>
      <bottom style="thin">
        <color rgb="00B8CCE4"/>
      </bottom>
    </border>
    <border>
      <left style="medium">
        <color rgb="002E75B6"/>
      </left>
      <right style="thin">
        <color rgb="00B8CCE4"/>
      </right>
      <top style="thin">
        <color rgb="00B8CCE4"/>
      </top>
      <bottom style="thin">
        <color rgb="00B8CCE4"/>
      </bottom>
    </border>
    <border>
      <left style="thin">
        <color rgb="00B8CCE4"/>
      </left>
      <right style="medium">
        <color rgb="002E75B6"/>
      </right>
      <top style="thin">
        <color rgb="00B8CCE4"/>
      </top>
      <bottom style="thin">
        <color rgb="00B8CCE4"/>
      </bottom>
    </border>
    <border>
      <left style="medium">
        <color rgb="002E75B6"/>
      </left>
      <right style="thin">
        <color rgb="00B8CCE4"/>
      </right>
      <top style="thin">
        <color rgb="00B8CCE4"/>
      </top>
      <bottom style="medium">
        <color rgb="002E75B6"/>
      </bottom>
    </border>
    <border>
      <left style="thin">
        <color rgb="00B8CCE4"/>
      </left>
      <right style="medium">
        <color rgb="002E75B6"/>
      </right>
      <top style="thin">
        <color rgb="00B8CCE4"/>
      </top>
      <bottom style="medium">
        <color rgb="002E75B6"/>
      </bottom>
    </border>
    <border>
      <left/>
      <right/>
      <top style="thin">
        <color rgb="00B8CCE4"/>
      </top>
      <bottom/>
      <diagonal/>
    </border>
    <border>
      <left/>
      <right style="medium">
        <color rgb="002E75B6"/>
      </right>
      <top style="thin">
        <color rgb="00B8CCE4"/>
      </top>
      <bottom/>
      <diagonal/>
    </border>
    <border>
      <left/>
      <right/>
      <top style="thin">
        <color rgb="00B8CCE4"/>
      </top>
      <bottom style="thin">
        <color rgb="00B8CCE4"/>
      </bottom>
      <diagonal/>
    </border>
    <border>
      <left/>
      <right style="medium">
        <color rgb="002E75B6"/>
      </right>
      <top style="thin">
        <color rgb="00B8CCE4"/>
      </top>
      <bottom style="thin">
        <color rgb="00B8CCE4"/>
      </bottom>
      <diagonal/>
    </border>
    <border>
      <left/>
      <right style="medium">
        <color rgb="002E75B6"/>
      </right>
      <top style="medium">
        <color rgb="002E75B6"/>
      </top>
      <bottom/>
      <diagonal/>
    </border>
    <border>
      <left/>
      <right/>
      <top style="medium">
        <color rgb="002E75B6"/>
      </top>
      <bottom style="thin">
        <color rgb="00B8CCE4"/>
      </bottom>
      <diagonal/>
    </border>
    <border>
      <left/>
      <right style="medium">
        <color rgb="002E75B6"/>
      </right>
      <top style="medium">
        <color rgb="002E75B6"/>
      </top>
      <bottom style="thin">
        <color rgb="00B8CCE4"/>
      </bottom>
      <diagonal/>
    </border>
    <border>
      <left/>
      <right style="thin">
        <color rgb="00B8CCE4"/>
      </right>
      <top style="thin">
        <color rgb="00B8CCE4"/>
      </top>
      <bottom/>
      <diagonal/>
    </border>
    <border>
      <left/>
      <right style="thin">
        <color rgb="00B8CCE4"/>
      </right>
      <top style="thin">
        <color rgb="00B8CCE4"/>
      </top>
      <bottom style="thin">
        <color rgb="00B8CCE4"/>
      </bottom>
      <diagonal/>
    </border>
    <border>
      <left/>
      <right style="thin">
        <color rgb="00B8CCE4"/>
      </right>
      <top style="thin">
        <color rgb="00B8CCE4"/>
      </top>
      <bottom style="medium">
        <color rgb="002E75B6"/>
      </bottom>
      <diagonal/>
    </border>
    <border>
      <left/>
      <right/>
      <top style="thin">
        <color rgb="00B8CCE4"/>
      </top>
      <bottom style="medium">
        <color rgb="002E75B6"/>
      </bottom>
      <diagonal/>
    </border>
    <border>
      <left/>
      <right style="medium">
        <color rgb="002E75B6"/>
      </right>
      <top style="thin">
        <color rgb="00B8CCE4"/>
      </top>
      <bottom style="medium">
        <color rgb="002E75B6"/>
      </bottom>
      <diagonal/>
    </border>
    <border>
      <left style="medium">
        <color rgb="001F3864"/>
      </left>
      <right style="medium">
        <color rgb="001F3864"/>
      </right>
      <top style="medium">
        <color rgb="001F3864"/>
      </top>
      <bottom style="thin">
        <color rgb="004472C4"/>
      </bottom>
    </border>
    <border>
      <left style="medium">
        <color rgb="002E75B6"/>
      </left>
      <right style="thin">
        <color rgb="002E75B6"/>
      </right>
      <top style="thin">
        <color rgb="002E75B6"/>
      </top>
      <bottom style="thin">
        <color rgb="002E75B6"/>
      </bottom>
    </border>
    <border>
      <left style="thin">
        <color rgb="002E75B6"/>
      </left>
      <right style="medium">
        <color rgb="002E75B6"/>
      </right>
      <top style="thin">
        <color rgb="002E75B6"/>
      </top>
      <bottom style="thin">
        <color rgb="002E75B6"/>
      </bottom>
    </border>
    <border>
      <left style="medium">
        <color rgb="00BF8F00"/>
      </left>
      <right style="thin">
        <color rgb="00BF8F00"/>
      </right>
      <top style="thin">
        <color rgb="00BF8F00"/>
      </top>
      <bottom style="thin">
        <color rgb="00BF8F00"/>
      </bottom>
    </border>
    <border>
      <left style="thin">
        <color rgb="00BF8F00"/>
      </left>
      <right style="medium">
        <color rgb="00BF8F00"/>
      </right>
      <top style="thin">
        <color rgb="00BF8F00"/>
      </top>
      <bottom style="thin">
        <color rgb="00BF8F00"/>
      </bottom>
    </border>
    <border>
      <left style="medium">
        <color rgb="00C00000"/>
      </left>
      <right style="thin">
        <color rgb="00C00000"/>
      </right>
      <top style="thin">
        <color rgb="00C00000"/>
      </top>
      <bottom style="medium">
        <color rgb="00C00000"/>
      </bottom>
    </border>
    <border>
      <left style="thin">
        <color rgb="00C00000"/>
      </left>
      <right style="medium">
        <color rgb="00C00000"/>
      </right>
      <top style="thin">
        <color rgb="00C00000"/>
      </top>
      <bottom style="medium">
        <color rgb="00C00000"/>
      </bottom>
    </border>
    <border>
      <left/>
      <right/>
      <top style="thin">
        <color rgb="002E75B6"/>
      </top>
      <bottom/>
      <diagonal/>
    </border>
    <border>
      <left/>
      <right style="medium">
        <color rgb="002E75B6"/>
      </right>
      <top style="thin">
        <color rgb="002E75B6"/>
      </top>
      <bottom/>
      <diagonal/>
    </border>
    <border>
      <left/>
      <right/>
      <top style="thin">
        <color rgb="002E75B6"/>
      </top>
      <bottom style="thin">
        <color rgb="002E75B6"/>
      </bottom>
      <diagonal/>
    </border>
    <border>
      <left/>
      <right style="medium">
        <color rgb="002E75B6"/>
      </right>
      <top style="thin">
        <color rgb="002E75B6"/>
      </top>
      <bottom style="thin">
        <color rgb="002E75B6"/>
      </bottom>
      <diagonal/>
    </border>
    <border>
      <left/>
      <right/>
      <top style="thin">
        <color rgb="00C00000"/>
      </top>
      <bottom/>
      <diagonal/>
    </border>
    <border>
      <left/>
      <right style="thin">
        <color rgb="00C00000"/>
      </right>
      <top style="thin">
        <color rgb="00C00000"/>
      </top>
      <bottom/>
      <diagonal/>
    </border>
    <border>
      <left/>
      <right/>
      <top style="thin">
        <color rgb="00C00000"/>
      </top>
      <bottom style="medium">
        <color rgb="00C00000"/>
      </bottom>
      <diagonal/>
    </border>
    <border>
      <left/>
      <right style="thin">
        <color rgb="00C00000"/>
      </right>
      <top style="thin">
        <color rgb="00C00000"/>
      </top>
      <bottom style="medium">
        <color rgb="00C00000"/>
      </bottom>
      <diagonal/>
    </border>
    <border>
      <left/>
      <right/>
      <top style="medium">
        <color rgb="001F3864"/>
      </top>
      <bottom/>
      <diagonal/>
    </border>
    <border>
      <left/>
      <right style="medium">
        <color rgb="001F3864"/>
      </right>
      <top style="medium">
        <color rgb="001F3864"/>
      </top>
      <bottom/>
      <diagonal/>
    </border>
    <border>
      <left/>
      <right/>
      <top style="medium">
        <color rgb="001F3864"/>
      </top>
      <bottom style="thin">
        <color rgb="004472C4"/>
      </bottom>
      <diagonal/>
    </border>
    <border>
      <left/>
      <right style="medium">
        <color rgb="001F3864"/>
      </right>
      <top style="medium">
        <color rgb="001F3864"/>
      </top>
      <bottom style="thin">
        <color rgb="004472C4"/>
      </bottom>
      <diagonal/>
    </border>
    <border>
      <left/>
      <right style="thin">
        <color rgb="002E75B6"/>
      </right>
      <top style="thin">
        <color rgb="002E75B6"/>
      </top>
      <bottom/>
      <diagonal/>
    </border>
    <border>
      <left/>
      <right style="thin">
        <color rgb="002E75B6"/>
      </right>
      <top style="thin">
        <color rgb="002E75B6"/>
      </top>
      <bottom style="thin">
        <color rgb="002E75B6"/>
      </bottom>
      <diagonal/>
    </border>
    <border>
      <left/>
      <right/>
      <top style="thin">
        <color rgb="00BF8F00"/>
      </top>
      <bottom/>
      <diagonal/>
    </border>
    <border>
      <left/>
      <right style="thin">
        <color rgb="00BF8F00"/>
      </right>
      <top style="thin">
        <color rgb="00BF8F00"/>
      </top>
      <bottom/>
      <diagonal/>
    </border>
    <border>
      <left/>
      <right style="thin">
        <color rgb="00BF8F00"/>
      </right>
      <top style="thin">
        <color rgb="00BF8F00"/>
      </top>
      <bottom style="thin">
        <color rgb="00BF8F00"/>
      </bottom>
      <diagonal/>
    </border>
    <border>
      <left/>
      <right style="medium">
        <color rgb="00BF8F00"/>
      </right>
      <top style="thin">
        <color rgb="00BF8F00"/>
      </top>
      <bottom/>
      <diagonal/>
    </border>
    <border>
      <left/>
      <right/>
      <top style="thin">
        <color rgb="00BF8F00"/>
      </top>
      <bottom style="thin">
        <color rgb="00BF8F00"/>
      </bottom>
      <diagonal/>
    </border>
    <border>
      <left/>
      <right style="medium">
        <color rgb="00BF8F00"/>
      </right>
      <top style="thin">
        <color rgb="00BF8F00"/>
      </top>
      <bottom style="thin">
        <color rgb="00BF8F00"/>
      </bottom>
      <diagonal/>
    </border>
    <border>
      <left style="medium">
        <color rgb="00375623"/>
      </left>
      <right style="thin">
        <color rgb="0070AD47"/>
      </right>
      <top style="thin">
        <color rgb="0070AD47"/>
      </top>
      <bottom style="thin">
        <color rgb="0070AD47"/>
      </bottom>
    </border>
    <border>
      <left style="thin">
        <color rgb="0070AD47"/>
      </left>
      <right style="medium">
        <color rgb="00375623"/>
      </right>
      <top style="thin">
        <color rgb="0070AD47"/>
      </top>
      <bottom style="thin">
        <color rgb="0070AD47"/>
      </bottom>
    </border>
    <border>
      <left style="medium">
        <color rgb="00375623"/>
      </left>
      <right style="thin">
        <color rgb="0070AD47"/>
      </right>
      <top style="thin">
        <color rgb="0070AD47"/>
      </top>
      <bottom style="medium">
        <color rgb="00375623"/>
      </bottom>
    </border>
    <border>
      <left style="thin">
        <color rgb="0070AD47"/>
      </left>
      <right style="medium">
        <color rgb="00375623"/>
      </right>
      <top style="thin">
        <color rgb="0070AD47"/>
      </top>
      <bottom style="medium">
        <color rgb="00375623"/>
      </bottom>
    </border>
    <border>
      <left/>
      <right/>
      <top style="thin">
        <color rgb="0070AD47"/>
      </top>
      <bottom/>
      <diagonal/>
    </border>
    <border>
      <left/>
      <right style="thin">
        <color rgb="0070AD47"/>
      </right>
      <top style="thin">
        <color rgb="0070AD47"/>
      </top>
      <bottom/>
      <diagonal/>
    </border>
    <border>
      <left/>
      <right/>
      <top style="thin">
        <color rgb="0070AD47"/>
      </top>
      <bottom style="thin">
        <color rgb="0070AD47"/>
      </bottom>
      <diagonal/>
    </border>
    <border>
      <left/>
      <right style="thin">
        <color rgb="0070AD47"/>
      </right>
      <top style="thin">
        <color rgb="0070AD47"/>
      </top>
      <bottom style="thin">
        <color rgb="0070AD47"/>
      </bottom>
      <diagonal/>
    </border>
    <border>
      <left/>
      <right/>
      <top style="thin">
        <color rgb="0070AD47"/>
      </top>
      <bottom style="medium">
        <color rgb="00375623"/>
      </bottom>
      <diagonal/>
    </border>
    <border>
      <left/>
      <right style="thin">
        <color rgb="0070AD47"/>
      </right>
      <top style="thin">
        <color rgb="0070AD47"/>
      </top>
      <bottom style="medium">
        <color rgb="00375623"/>
      </bottom>
      <diagonal/>
    </border>
    <border>
      <left/>
      <right style="medium">
        <color rgb="00375623"/>
      </right>
      <top style="thin">
        <color rgb="0070AD47"/>
      </top>
      <bottom/>
      <diagonal/>
    </border>
    <border>
      <left/>
      <right style="medium">
        <color rgb="00375623"/>
      </right>
      <top style="thin">
        <color rgb="0070AD47"/>
      </top>
      <bottom style="medium">
        <color rgb="00375623"/>
      </bottom>
      <diagonal/>
    </border>
    <border>
      <left/>
      <right style="medium">
        <color rgb="00375623"/>
      </right>
      <top style="thin">
        <color rgb="0070AD47"/>
      </top>
      <bottom style="thin">
        <color rgb="0070AD47"/>
      </bottom>
      <diagonal/>
    </border>
    <border>
      <left/>
      <right style="medium">
        <color rgb="00C00000"/>
      </right>
      <top style="thin">
        <color rgb="00C00000"/>
      </top>
      <bottom/>
      <diagonal/>
    </border>
    <border>
      <left/>
      <right style="medium">
        <color rgb="00C00000"/>
      </right>
      <top style="thin">
        <color rgb="00C00000"/>
      </top>
      <bottom style="medium">
        <color rgb="00C00000"/>
      </bottom>
      <diagonal/>
    </border>
    <border>
      <left style="medium">
        <color rgb="00C00000"/>
      </left>
      <right style="thin">
        <color rgb="00C00000"/>
      </right>
      <top style="thin">
        <color rgb="00C00000"/>
      </top>
      <bottom style="thin">
        <color rgb="00C00000"/>
      </bottom>
    </border>
    <border>
      <left style="thin">
        <color rgb="00C00000"/>
      </left>
      <right style="medium">
        <color rgb="00C00000"/>
      </right>
      <top style="thin">
        <color rgb="00C00000"/>
      </top>
      <bottom style="thin">
        <color rgb="00C00000"/>
      </bottom>
    </border>
    <border>
      <left style="medium">
        <color rgb="005E35B1"/>
      </left>
      <right style="thin">
        <color rgb="005E35B1"/>
      </right>
      <top style="thin">
        <color rgb="005E35B1"/>
      </top>
      <bottom style="medium">
        <color rgb="005E35B1"/>
      </bottom>
    </border>
    <border>
      <left style="thin">
        <color rgb="005E35B1"/>
      </left>
      <right style="medium">
        <color rgb="005E35B1"/>
      </right>
      <top style="thin">
        <color rgb="005E35B1"/>
      </top>
      <bottom style="medium">
        <color rgb="005E35B1"/>
      </bottom>
    </border>
  </borders>
  <cellStyleXfs count="1">
    <xf numFmtId="0" fontId="0" fillId="0" borderId="0"/>
  </cellStyleXfs>
  <cellXfs count="93">
    <xf numFmtId="0" fontId="0" fillId="0" borderId="0" pivotButton="0" quotePrefix="0" xfId="0"/>
    <xf numFmtId="0" fontId="5" fillId="3" borderId="1" applyAlignment="1" pivotButton="0" quotePrefix="0" xfId="0">
      <alignment horizontal="center" vertical="center" wrapText="1"/>
    </xf>
    <xf numFmtId="0" fontId="6" fillId="5" borderId="1" applyAlignment="1" pivotButton="0" quotePrefix="0" xfId="0">
      <alignment horizontal="left" vertical="center" wrapText="1"/>
    </xf>
    <xf numFmtId="14" fontId="6" fillId="5" borderId="1" applyAlignment="1" pivotButton="0" quotePrefix="0" xfId="0">
      <alignment horizontal="center" vertical="center"/>
    </xf>
    <xf numFmtId="0" fontId="6" fillId="5" borderId="1" applyAlignment="1" pivotButton="0" quotePrefix="0" xfId="0">
      <alignment horizontal="center" vertical="center"/>
    </xf>
    <xf numFmtId="4" fontId="6" fillId="5" borderId="1" applyAlignment="1" pivotButton="0" quotePrefix="0" xfId="0">
      <alignment horizontal="right" vertical="center"/>
    </xf>
    <xf numFmtId="0" fontId="6" fillId="6" borderId="1" applyAlignment="1" pivotButton="0" quotePrefix="0" xfId="0">
      <alignment horizontal="left" vertical="center" wrapText="1"/>
    </xf>
    <xf numFmtId="14" fontId="6" fillId="6" borderId="1" applyAlignment="1" pivotButton="0" quotePrefix="0" xfId="0">
      <alignment horizontal="center" vertical="center"/>
    </xf>
    <xf numFmtId="0" fontId="6" fillId="6" borderId="1" applyAlignment="1" pivotButton="0" quotePrefix="0" xfId="0">
      <alignment horizontal="center" vertical="center"/>
    </xf>
    <xf numFmtId="4" fontId="6" fillId="6" borderId="1" applyAlignment="1" pivotButton="0" quotePrefix="0" xfId="0">
      <alignment horizontal="right" vertical="center"/>
    </xf>
    <xf numFmtId="4" fontId="5" fillId="2" borderId="2" applyAlignment="1" pivotButton="0" quotePrefix="0" xfId="0">
      <alignment horizontal="right" vertical="center"/>
    </xf>
    <xf numFmtId="0" fontId="0" fillId="2" borderId="2" pivotButton="0" quotePrefix="0" xfId="0"/>
    <xf numFmtId="0" fontId="1" fillId="2" borderId="0" applyAlignment="1" pivotButton="0" quotePrefix="0" xfId="0">
      <alignment horizontal="center" vertical="center"/>
    </xf>
    <xf numFmtId="0" fontId="0" fillId="0" borderId="0" pivotButton="0" quotePrefix="0" xfId="0"/>
    <xf numFmtId="0" fontId="5" fillId="2" borderId="2" applyAlignment="1" pivotButton="0" quotePrefix="0" xfId="0">
      <alignment horizontal="right" vertical="center"/>
    </xf>
    <xf numFmtId="0" fontId="7" fillId="0" borderId="0" applyAlignment="1" pivotButton="0" quotePrefix="0" xfId="0">
      <alignment horizontal="center" vertical="center"/>
    </xf>
    <xf numFmtId="0" fontId="4" fillId="4" borderId="0" applyAlignment="1" pivotButton="0" quotePrefix="0" xfId="0">
      <alignment horizontal="right"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4" fontId="8" fillId="6" borderId="1" applyAlignment="1" pivotButton="0" quotePrefix="0" xfId="0">
      <alignment horizontal="right" vertical="center"/>
    </xf>
    <xf numFmtId="0" fontId="9" fillId="7" borderId="7" applyAlignment="1" pivotButton="0" quotePrefix="0" xfId="0">
      <alignment horizontal="center" vertical="center"/>
    </xf>
    <xf numFmtId="0" fontId="10" fillId="8" borderId="7" applyAlignment="1" pivotButton="0" quotePrefix="0" xfId="0">
      <alignment horizontal="center" vertical="center"/>
    </xf>
    <xf numFmtId="0" fontId="11" fillId="9" borderId="7" applyAlignment="1" pivotButton="0" quotePrefix="0" xfId="0">
      <alignment horizontal="left" vertical="center"/>
    </xf>
    <xf numFmtId="0" fontId="11" fillId="9" borderId="7" applyAlignment="1" pivotButton="0" quotePrefix="0" xfId="0">
      <alignment horizontal="right" vertical="center"/>
    </xf>
    <xf numFmtId="0" fontId="12" fillId="8" borderId="8" applyAlignment="1" pivotButton="0" quotePrefix="0" xfId="0">
      <alignment horizontal="center" vertical="center" wrapText="1"/>
    </xf>
    <xf numFmtId="1" fontId="13" fillId="10" borderId="9" applyAlignment="1" pivotButton="0" quotePrefix="0" xfId="0">
      <alignment horizontal="center" vertical="center"/>
    </xf>
    <xf numFmtId="0" fontId="13" fillId="10" borderId="9" applyAlignment="1" pivotButton="0" quotePrefix="0" xfId="0">
      <alignment horizontal="left" vertical="center" wrapText="1"/>
    </xf>
    <xf numFmtId="164" fontId="13" fillId="10" borderId="9" applyAlignment="1" pivotButton="0" quotePrefix="0" xfId="0">
      <alignment horizontal="center" vertical="center"/>
    </xf>
    <xf numFmtId="0" fontId="14" fillId="10" borderId="9" applyAlignment="1" pivotButton="0" quotePrefix="0" xfId="0">
      <alignment horizontal="center" vertical="center"/>
    </xf>
    <xf numFmtId="165" fontId="13" fillId="10" borderId="9" applyAlignment="1" pivotButton="0" quotePrefix="0" xfId="0">
      <alignment horizontal="right" vertical="center"/>
    </xf>
    <xf numFmtId="0" fontId="13" fillId="10" borderId="9" applyAlignment="1" pivotButton="0" quotePrefix="0" xfId="0">
      <alignment horizontal="center" vertical="center"/>
    </xf>
    <xf numFmtId="1" fontId="13" fillId="11" borderId="9" applyAlignment="1" pivotButton="0" quotePrefix="0" xfId="0">
      <alignment horizontal="center" vertical="center"/>
    </xf>
    <xf numFmtId="0" fontId="13" fillId="11" borderId="9" applyAlignment="1" pivotButton="0" quotePrefix="0" xfId="0">
      <alignment horizontal="left" vertical="center" wrapText="1"/>
    </xf>
    <xf numFmtId="164" fontId="13" fillId="11" borderId="9" applyAlignment="1" pivotButton="0" quotePrefix="0" xfId="0">
      <alignment horizontal="center" vertical="center"/>
    </xf>
    <xf numFmtId="0" fontId="14" fillId="11" borderId="9" applyAlignment="1" pivotButton="0" quotePrefix="0" xfId="0">
      <alignment horizontal="center" vertical="center"/>
    </xf>
    <xf numFmtId="165" fontId="13" fillId="11" borderId="9" applyAlignment="1" pivotButton="0" quotePrefix="0" xfId="0">
      <alignment horizontal="right" vertical="center"/>
    </xf>
    <xf numFmtId="0" fontId="13" fillId="11" borderId="9" applyAlignment="1" pivotButton="0" quotePrefix="0" xfId="0">
      <alignment horizontal="center" vertical="center"/>
    </xf>
    <xf numFmtId="0" fontId="15" fillId="9" borderId="10" applyAlignment="1" pivotButton="0" quotePrefix="0" xfId="0">
      <alignment horizontal="left" vertical="center"/>
    </xf>
    <xf numFmtId="0" fontId="15" fillId="9" borderId="10" applyAlignment="1" pivotButton="0" quotePrefix="0" xfId="0">
      <alignment horizontal="center" vertical="center"/>
    </xf>
    <xf numFmtId="165" fontId="15" fillId="9" borderId="10" applyAlignment="1" pivotButton="0" quotePrefix="0" xfId="0">
      <alignment horizontal="right" vertical="center"/>
    </xf>
    <xf numFmtId="0" fontId="16" fillId="12" borderId="7" applyAlignment="1" pivotButton="0" quotePrefix="0" xfId="0">
      <alignment horizontal="center" vertical="center"/>
    </xf>
    <xf numFmtId="0" fontId="17" fillId="13" borderId="7" applyAlignment="1" pivotButton="0" quotePrefix="0" xfId="0">
      <alignment horizontal="left" vertical="center"/>
    </xf>
    <xf numFmtId="4" fontId="18" fillId="10" borderId="9" applyAlignment="1" pivotButton="0" quotePrefix="0" xfId="0">
      <alignment horizontal="center" vertical="center"/>
    </xf>
    <xf numFmtId="4" fontId="18" fillId="11" borderId="9" applyAlignment="1" pivotButton="0" quotePrefix="0" xfId="0">
      <alignment horizontal="center" vertical="center"/>
    </xf>
    <xf numFmtId="0" fontId="0" fillId="0" borderId="13" pivotButton="0" quotePrefix="0" xfId="0"/>
    <xf numFmtId="0" fontId="0" fillId="0" borderId="14" pivotButton="0" quotePrefix="0" xfId="0"/>
    <xf numFmtId="0" fontId="19" fillId="7" borderId="15" applyAlignment="1" pivotButton="0" quotePrefix="0" xfId="0">
      <alignment horizontal="center" vertical="center"/>
    </xf>
    <xf numFmtId="0" fontId="15" fillId="14" borderId="16" applyAlignment="1" pivotButton="0" quotePrefix="0" xfId="0">
      <alignment horizontal="left" vertical="center" wrapText="1"/>
    </xf>
    <xf numFmtId="0" fontId="20" fillId="15" borderId="17" applyAlignment="1" pivotButton="0" quotePrefix="0" xfId="0">
      <alignment horizontal="left" vertical="center" wrapText="1"/>
    </xf>
    <xf numFmtId="0" fontId="15" fillId="16" borderId="16" applyAlignment="1" pivotButton="0" quotePrefix="0" xfId="0">
      <alignment horizontal="left" vertical="center" wrapText="1"/>
    </xf>
    <xf numFmtId="0" fontId="20" fillId="10" borderId="17" applyAlignment="1" pivotButton="0" quotePrefix="0" xfId="0">
      <alignment horizontal="left" vertical="center" wrapText="1"/>
    </xf>
    <xf numFmtId="0" fontId="15" fillId="16" borderId="18" applyAlignment="1" pivotButton="0" quotePrefix="0" xfId="0">
      <alignment horizontal="left" vertical="center" wrapText="1"/>
    </xf>
    <xf numFmtId="0" fontId="20" fillId="10" borderId="19" applyAlignment="1" pivotButton="0" quotePrefix="0" xfId="0">
      <alignment horizontal="left" vertical="center" wrapText="1"/>
    </xf>
    <xf numFmtId="0" fontId="16" fillId="12" borderId="7" applyAlignment="1" pivotButton="0" quotePrefix="0" xfId="0">
      <alignment horizontal="center" vertical="center"/>
    </xf>
    <xf numFmtId="0" fontId="21" fillId="7" borderId="32" applyAlignment="1" pivotButton="0" quotePrefix="0" xfId="0">
      <alignment horizontal="center" vertical="center"/>
    </xf>
    <xf numFmtId="0" fontId="15" fillId="14" borderId="33" applyAlignment="1" pivotButton="0" quotePrefix="0" xfId="0">
      <alignment horizontal="left" vertical="center" wrapText="1"/>
    </xf>
    <xf numFmtId="0" fontId="22" fillId="15" borderId="34" applyAlignment="1" pivotButton="0" quotePrefix="0" xfId="0">
      <alignment horizontal="left" vertical="center" wrapText="1"/>
    </xf>
    <xf numFmtId="0" fontId="15" fillId="16" borderId="33" applyAlignment="1" pivotButton="0" quotePrefix="0" xfId="0">
      <alignment horizontal="left" vertical="center" wrapText="1"/>
    </xf>
    <xf numFmtId="0" fontId="22" fillId="10" borderId="34" applyAlignment="1" pivotButton="0" quotePrefix="0" xfId="0">
      <alignment horizontal="left" vertical="center" wrapText="1"/>
    </xf>
    <xf numFmtId="0" fontId="23" fillId="17" borderId="35" applyAlignment="1" pivotButton="0" quotePrefix="0" xfId="0">
      <alignment horizontal="left" vertical="center" wrapText="1"/>
    </xf>
    <xf numFmtId="0" fontId="22" fillId="18" borderId="36" applyAlignment="1" pivotButton="0" quotePrefix="0" xfId="0">
      <alignment horizontal="left" vertical="center" wrapText="1"/>
    </xf>
    <xf numFmtId="0" fontId="24" fillId="19" borderId="37" applyAlignment="1" pivotButton="0" quotePrefix="0" xfId="0">
      <alignment horizontal="left" vertical="center" wrapText="1"/>
    </xf>
    <xf numFmtId="0" fontId="25" fillId="20" borderId="38" applyAlignment="1" pivotButton="0" quotePrefix="0" xfId="0">
      <alignment horizontal="left" vertical="center" wrapText="1"/>
    </xf>
    <xf numFmtId="0" fontId="16" fillId="12" borderId="7" applyAlignment="1" pivotButton="0" quotePrefix="0" xfId="0">
      <alignment horizontal="center" vertical="center"/>
    </xf>
    <xf numFmtId="0" fontId="21" fillId="7" borderId="32" applyAlignment="1" pivotButton="0" quotePrefix="0" xfId="0">
      <alignment horizontal="center" vertical="center"/>
    </xf>
    <xf numFmtId="0" fontId="26" fillId="21" borderId="59" applyAlignment="1" pivotButton="0" quotePrefix="0" xfId="0">
      <alignment horizontal="left" vertical="center"/>
    </xf>
    <xf numFmtId="165" fontId="27" fillId="22" borderId="60" applyAlignment="1" pivotButton="0" quotePrefix="0" xfId="0">
      <alignment horizontal="right" vertical="center"/>
    </xf>
    <xf numFmtId="0" fontId="26" fillId="21" borderId="61" applyAlignment="1" pivotButton="0" quotePrefix="0" xfId="0">
      <alignment horizontal="left" vertical="center"/>
    </xf>
    <xf numFmtId="165" fontId="27" fillId="22" borderId="62" applyAlignment="1" pivotButton="0" quotePrefix="0" xfId="0">
      <alignment horizontal="right" vertical="center"/>
    </xf>
    <xf numFmtId="0" fontId="0" fillId="0" borderId="49" pivotButton="0" quotePrefix="0" xfId="0"/>
    <xf numFmtId="0" fontId="0" fillId="0" borderId="50" pivotButton="0" quotePrefix="0" xfId="0"/>
    <xf numFmtId="0" fontId="0" fillId="0" borderId="52" pivotButton="0" quotePrefix="0" xfId="0"/>
    <xf numFmtId="0" fontId="0" fillId="0" borderId="41" pivotButton="0" quotePrefix="0" xfId="0"/>
    <xf numFmtId="0" fontId="0" fillId="0" borderId="42" pivotButton="0" quotePrefix="0" xfId="0"/>
    <xf numFmtId="0" fontId="0" fillId="0" borderId="55" pivotButton="0" quotePrefix="0" xfId="0"/>
    <xf numFmtId="0" fontId="0" fillId="0" borderId="57" pivotButton="0" quotePrefix="0" xfId="0"/>
    <xf numFmtId="0" fontId="0" fillId="0" borderId="58" pivotButton="0" quotePrefix="0" xfId="0"/>
    <xf numFmtId="0" fontId="0" fillId="0" borderId="45" pivotButton="0" quotePrefix="0" xfId="0"/>
    <xf numFmtId="0" fontId="0" fillId="0" borderId="46" pivotButton="0" quotePrefix="0" xfId="0"/>
    <xf numFmtId="0" fontId="0" fillId="0" borderId="65" pivotButton="0" quotePrefix="0" xfId="0"/>
    <xf numFmtId="0" fontId="0" fillId="0" borderId="66" pivotButton="0" quotePrefix="0" xfId="0"/>
    <xf numFmtId="0" fontId="0" fillId="0" borderId="71" pivotButton="0" quotePrefix="0" xfId="0"/>
    <xf numFmtId="0" fontId="0" fillId="0" borderId="67" pivotButton="0" quotePrefix="0" xfId="0"/>
    <xf numFmtId="0" fontId="0" fillId="0" borderId="68" pivotButton="0" quotePrefix="0" xfId="0"/>
    <xf numFmtId="0" fontId="0" fillId="0" borderId="70" pivotButton="0" quotePrefix="0" xfId="0"/>
    <xf numFmtId="0" fontId="21" fillId="7" borderId="32" applyAlignment="1" pivotButton="0" quotePrefix="0" xfId="0">
      <alignment horizontal="center" vertical="center"/>
    </xf>
    <xf numFmtId="0" fontId="16" fillId="12" borderId="7" applyAlignment="1" pivotButton="0" quotePrefix="0" xfId="0">
      <alignment horizontal="center" vertical="center"/>
    </xf>
    <xf numFmtId="0" fontId="21" fillId="7" borderId="32" applyAlignment="1" pivotButton="0" quotePrefix="0" xfId="0">
      <alignment horizontal="center" vertical="center"/>
    </xf>
    <xf numFmtId="0" fontId="24" fillId="19" borderId="74" applyAlignment="1" pivotButton="0" quotePrefix="0" xfId="0">
      <alignment horizontal="left" vertical="center" wrapText="1"/>
    </xf>
    <xf numFmtId="0" fontId="25" fillId="20" borderId="75" applyAlignment="1" pivotButton="0" quotePrefix="0" xfId="0">
      <alignment horizontal="left" vertical="center" wrapText="1"/>
    </xf>
    <xf numFmtId="0" fontId="28" fillId="23" borderId="76" applyAlignment="1" pivotButton="0" quotePrefix="0" xfId="0">
      <alignment horizontal="left" vertical="center" wrapText="1"/>
    </xf>
    <xf numFmtId="0" fontId="22" fillId="24" borderId="77" applyAlignment="1" pivotButton="0" quotePrefix="0" xfId="0">
      <alignment horizontal="left" vertical="center" wrapText="1"/>
    </xf>
    <xf numFmtId="0" fontId="16" fillId="12" borderId="7"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53"/>
  <sheetViews>
    <sheetView showGridLines="0" tabSelected="1" topLeftCell="A17" workbookViewId="0">
      <selection activeCell="I36" sqref="H36:I38"/>
    </sheetView>
  </sheetViews>
  <sheetFormatPr baseColWidth="8" defaultRowHeight="15"/>
  <cols>
    <col width="16" customWidth="1" style="13" min="1" max="1"/>
    <col width="50" customWidth="1" style="13" min="2" max="2"/>
    <col width="14" customWidth="1" style="13" min="3" max="4"/>
    <col width="14" customWidth="1" style="13" min="4" max="4"/>
    <col width="7" customWidth="1" style="13" min="5" max="5"/>
    <col width="20" customWidth="1" style="13" min="6" max="6"/>
    <col width="20" customWidth="1" style="13" min="7" max="8"/>
    <col width="20" customWidth="1" style="13" min="8" max="8"/>
    <col width="14" customWidth="1" style="13" min="9" max="9"/>
  </cols>
  <sheetData>
    <row r="1" ht="42" customHeight="1" s="13">
      <c r="A1" s="20" t="inlineStr">
        <is>
          <t>COUNCIL TAX CHARGES  2026/27</t>
        </is>
      </c>
    </row>
    <row r="2" ht="28" customHeight="1" s="13">
      <c r="A2" s="21" t="inlineStr">
        <is>
          <t>Ash-Shahada Housing Association Ltd</t>
        </is>
      </c>
    </row>
    <row r="3" ht="22" customHeight="1" s="13">
      <c r="A3" s="22" t="inlineStr">
        <is>
          <t>Support Provider:  Serenity Consultancy (UK) Ltd</t>
        </is>
      </c>
      <c r="G3" s="23" t="inlineStr">
        <is>
          <t>Period:  01 Apr 2026 - 31 Mar 2027</t>
        </is>
      </c>
    </row>
    <row r="4" ht="6" customHeight="1" s="13"/>
    <row r="5" ht="40" customHeight="1" s="13">
      <c r="A5" s="24" t="inlineStr">
        <is>
          <t>Account Ref</t>
        </is>
      </c>
      <c r="B5" s="24" t="inlineStr">
        <is>
          <t>Property Address</t>
        </is>
      </c>
      <c r="C5" s="24" t="inlineStr">
        <is>
          <t>Start Date</t>
        </is>
      </c>
      <c r="D5" s="24" t="inlineStr">
        <is>
          <t>End Date</t>
        </is>
      </c>
      <c r="E5" s="24" t="inlineStr">
        <is>
          <t>Band</t>
        </is>
      </c>
      <c r="F5" s="24" t="inlineStr">
        <is>
          <t>Annual Charge (GBP)</t>
        </is>
      </c>
      <c r="G5" s="24" t="inlineStr">
        <is>
          <t>Outstanding Debt (GBP)</t>
        </is>
      </c>
      <c r="H5" s="24" t="inlineStr">
        <is>
          <t>6 Month Deduction (GBP)</t>
        </is>
      </c>
      <c r="I5" s="24" t="inlineStr">
        <is>
          <t>Self Contained</t>
        </is>
      </c>
    </row>
    <row r="6" ht="18" customHeight="1" s="13">
      <c r="A6" s="25" t="inlineStr">
        <is>
          <t>5057518516</t>
        </is>
      </c>
      <c r="B6" s="26" t="inlineStr">
        <is>
          <t>25, Anderton Park Road, Birmingham, B13 9BQ</t>
        </is>
      </c>
      <c r="C6" s="27" t="n">
        <v>43843</v>
      </c>
      <c r="D6" s="27" t="n"/>
      <c r="E6" s="28" t="inlineStr">
        <is>
          <t>D</t>
        </is>
      </c>
      <c r="F6" s="29" t="n">
        <v>2353.17</v>
      </c>
      <c r="G6" s="29">
        <f>0.7*F6</f>
        <v/>
      </c>
      <c r="H6" s="29" t="n">
        <v>823.6095</v>
      </c>
      <c r="I6" s="30" t="inlineStr">
        <is>
          <t>No</t>
        </is>
      </c>
    </row>
    <row r="7" ht="18" customHeight="1" s="13">
      <c r="A7" s="31" t="inlineStr">
        <is>
          <t>5058060842</t>
        </is>
      </c>
      <c r="B7" s="32" t="inlineStr">
        <is>
          <t>44, Ivor Road, Birmingham, B11 4NT</t>
        </is>
      </c>
      <c r="C7" s="33" t="n">
        <v>44013</v>
      </c>
      <c r="D7" s="33" t="n"/>
      <c r="E7" s="34" t="inlineStr">
        <is>
          <t>C</t>
        </is>
      </c>
      <c r="F7" s="35" t="n">
        <v>2091.71</v>
      </c>
      <c r="G7" s="35">
        <f>0.7*F7</f>
        <v/>
      </c>
      <c r="H7" s="35" t="n">
        <v>732.0984999999999</v>
      </c>
      <c r="I7" s="36" t="inlineStr">
        <is>
          <t>No</t>
        </is>
      </c>
    </row>
    <row r="8" ht="18" customHeight="1" s="13">
      <c r="A8" s="25" t="inlineStr">
        <is>
          <t>5058323555</t>
        </is>
      </c>
      <c r="B8" s="26" t="inlineStr">
        <is>
          <t>93, Durham Road, Birmingham, B11 4LH</t>
        </is>
      </c>
      <c r="C8" s="27" t="n">
        <v>44105</v>
      </c>
      <c r="D8" s="27" t="n"/>
      <c r="E8" s="28" t="inlineStr">
        <is>
          <t>A</t>
        </is>
      </c>
      <c r="F8" s="29" t="n">
        <v>1568.78</v>
      </c>
      <c r="G8" s="29">
        <f>0.7*F8</f>
        <v/>
      </c>
      <c r="H8" s="29" t="n">
        <v>549.073</v>
      </c>
      <c r="I8" s="30" t="inlineStr">
        <is>
          <t>No</t>
        </is>
      </c>
    </row>
    <row r="9" ht="18" customHeight="1" s="13">
      <c r="A9" s="31" t="inlineStr">
        <is>
          <t>5063698094</t>
        </is>
      </c>
      <c r="B9" s="32" t="inlineStr">
        <is>
          <t>81, Durham Road, Birmingham, B11 4LH</t>
        </is>
      </c>
      <c r="C9" s="33" t="n">
        <v>45768</v>
      </c>
      <c r="D9" s="33" t="n"/>
      <c r="E9" s="34" t="inlineStr">
        <is>
          <t>B</t>
        </is>
      </c>
      <c r="F9" s="35" t="n">
        <v>1830.25</v>
      </c>
      <c r="G9" s="35">
        <f>0.7*F9</f>
        <v/>
      </c>
      <c r="H9" s="35" t="n">
        <v>640.5875</v>
      </c>
      <c r="I9" s="36" t="inlineStr">
        <is>
          <t>No</t>
        </is>
      </c>
    </row>
    <row r="10" ht="18" customHeight="1" s="13">
      <c r="A10" s="25" t="inlineStr">
        <is>
          <t>5057578043</t>
        </is>
      </c>
      <c r="B10" s="26" t="inlineStr">
        <is>
          <t>262, Vicarage Road, Birmingham, B14 7NH</t>
        </is>
      </c>
      <c r="C10" s="27" t="n">
        <v>43872</v>
      </c>
      <c r="D10" s="27" t="n"/>
      <c r="E10" s="28" t="inlineStr">
        <is>
          <t>F</t>
        </is>
      </c>
      <c r="F10" s="29" t="n">
        <v>3399.02</v>
      </c>
      <c r="G10" s="29">
        <f>0.7*F10</f>
        <v/>
      </c>
      <c r="H10" s="29" t="n">
        <v>1189.657</v>
      </c>
      <c r="I10" s="30" t="inlineStr">
        <is>
          <t>No</t>
        </is>
      </c>
    </row>
    <row r="11" ht="18" customHeight="1" s="13">
      <c r="A11" s="31" t="inlineStr">
        <is>
          <t>5058141126</t>
        </is>
      </c>
      <c r="B11" s="32" t="inlineStr">
        <is>
          <t>40, Bellefield Road, Birmingham, B18 4EP</t>
        </is>
      </c>
      <c r="C11" s="33" t="n">
        <v>43801</v>
      </c>
      <c r="D11" s="33" t="n"/>
      <c r="E11" s="34" t="inlineStr">
        <is>
          <t>A</t>
        </is>
      </c>
      <c r="F11" s="35" t="n">
        <v>1568.78</v>
      </c>
      <c r="G11" s="35">
        <f>0.7*F11</f>
        <v/>
      </c>
      <c r="H11" s="35" t="n">
        <v>549.073</v>
      </c>
      <c r="I11" s="36" t="inlineStr">
        <is>
          <t>No</t>
        </is>
      </c>
    </row>
    <row r="12" ht="18" customHeight="1" s="13">
      <c r="A12" s="25" t="inlineStr">
        <is>
          <t>5058141239</t>
        </is>
      </c>
      <c r="B12" s="26" t="inlineStr">
        <is>
          <t>8, Chiswell Road, Birmingham, B18 4DW</t>
        </is>
      </c>
      <c r="C12" s="27" t="n">
        <v>43818</v>
      </c>
      <c r="D12" s="27" t="n"/>
      <c r="E12" s="28" t="inlineStr">
        <is>
          <t>A</t>
        </is>
      </c>
      <c r="F12" s="29" t="n">
        <v>1568.78</v>
      </c>
      <c r="G12" s="29">
        <f>0.7*F12</f>
        <v/>
      </c>
      <c r="H12" s="29" t="n">
        <v>549.073</v>
      </c>
      <c r="I12" s="30" t="inlineStr">
        <is>
          <t>No</t>
        </is>
      </c>
    </row>
    <row r="13" ht="18" customHeight="1" s="13">
      <c r="A13" s="31" t="inlineStr">
        <is>
          <t>5058141375</t>
        </is>
      </c>
      <c r="B13" s="32" t="inlineStr">
        <is>
          <t>24, Cavendish Road, Birmingham, B16 0HZ</t>
        </is>
      </c>
      <c r="C13" s="33" t="n">
        <v>43864</v>
      </c>
      <c r="D13" s="33" t="n"/>
      <c r="E13" s="34" t="inlineStr">
        <is>
          <t>B</t>
        </is>
      </c>
      <c r="F13" s="35" t="n">
        <v>1830.25</v>
      </c>
      <c r="G13" s="35">
        <f>0.7*F13</f>
        <v/>
      </c>
      <c r="H13" s="35" t="n">
        <v>640.5875</v>
      </c>
      <c r="I13" s="36" t="inlineStr">
        <is>
          <t>No</t>
        </is>
      </c>
    </row>
    <row r="14" ht="18" customHeight="1" s="13">
      <c r="A14" s="25" t="inlineStr">
        <is>
          <t>5058141717</t>
        </is>
      </c>
      <c r="B14" s="26" t="inlineStr">
        <is>
          <t>216, Selsey Road, Birmingham, B17 8JN</t>
        </is>
      </c>
      <c r="C14" s="27" t="n">
        <v>43812</v>
      </c>
      <c r="D14" s="27" t="n"/>
      <c r="E14" s="28" t="inlineStr">
        <is>
          <t>A</t>
        </is>
      </c>
      <c r="F14" s="29" t="n">
        <v>1568.78</v>
      </c>
      <c r="G14" s="29">
        <f>0.7*F14</f>
        <v/>
      </c>
      <c r="H14" s="29" t="n">
        <v>549.073</v>
      </c>
      <c r="I14" s="30" t="inlineStr">
        <is>
          <t>No</t>
        </is>
      </c>
    </row>
    <row r="15" ht="18" customHeight="1" s="13">
      <c r="A15" s="31" t="inlineStr">
        <is>
          <t>5058347271</t>
        </is>
      </c>
      <c r="B15" s="32" t="inlineStr">
        <is>
          <t>Shop &amp; House, 19, Dogpool Lane, Birmingham, B30 2XN</t>
        </is>
      </c>
      <c r="C15" s="33" t="n">
        <v>44144</v>
      </c>
      <c r="D15" s="33" t="n"/>
      <c r="E15" s="34" t="inlineStr">
        <is>
          <t>A</t>
        </is>
      </c>
      <c r="F15" s="35" t="n">
        <v>1568.78</v>
      </c>
      <c r="G15" s="35">
        <f>0.7*F15</f>
        <v/>
      </c>
      <c r="H15" s="35" t="n">
        <v>549.073</v>
      </c>
      <c r="I15" s="36" t="inlineStr">
        <is>
          <t>No</t>
        </is>
      </c>
    </row>
    <row r="16" ht="18" customHeight="1" s="13">
      <c r="A16" s="25" t="inlineStr">
        <is>
          <t>5058361840</t>
        </is>
      </c>
      <c r="B16" s="26" t="inlineStr">
        <is>
          <t>1, Summerfield Grove Bellefield Road, Birmingham, B18 4ER</t>
        </is>
      </c>
      <c r="C16" s="27" t="n">
        <v>44144</v>
      </c>
      <c r="D16" s="27" t="n"/>
      <c r="E16" s="28" t="inlineStr">
        <is>
          <t>A</t>
        </is>
      </c>
      <c r="F16" s="29" t="n">
        <v>1568.78</v>
      </c>
      <c r="G16" s="29">
        <f>0.7*F16</f>
        <v/>
      </c>
      <c r="H16" s="29" t="n">
        <v>549.073</v>
      </c>
      <c r="I16" s="30" t="inlineStr">
        <is>
          <t>No</t>
        </is>
      </c>
    </row>
    <row r="17" ht="18" customHeight="1" s="13">
      <c r="A17" s="31" t="inlineStr">
        <is>
          <t>5061062627</t>
        </is>
      </c>
      <c r="B17" s="32" t="inlineStr">
        <is>
          <t>13, Finch Road, Birmingham, B19 1HS</t>
        </is>
      </c>
      <c r="C17" s="33" t="n">
        <v>44764</v>
      </c>
      <c r="D17" s="33" t="n"/>
      <c r="E17" s="34" t="inlineStr">
        <is>
          <t>A</t>
        </is>
      </c>
      <c r="F17" s="35" t="n">
        <v>1568.78</v>
      </c>
      <c r="G17" s="35">
        <f>0.7*F17</f>
        <v/>
      </c>
      <c r="H17" s="35" t="n">
        <v>549.073</v>
      </c>
      <c r="I17" s="36" t="inlineStr">
        <is>
          <t>No</t>
        </is>
      </c>
    </row>
    <row r="18" ht="18" customHeight="1" s="13">
      <c r="A18" s="25" t="inlineStr">
        <is>
          <t>5061796751</t>
        </is>
      </c>
      <c r="B18" s="26" t="inlineStr">
        <is>
          <t>110, Preston Road, Birmingham, B18 4PJ</t>
        </is>
      </c>
      <c r="C18" s="27" t="n">
        <v>43731</v>
      </c>
      <c r="D18" s="27" t="n"/>
      <c r="E18" s="28" t="inlineStr">
        <is>
          <t>A</t>
        </is>
      </c>
      <c r="F18" s="29" t="n">
        <v>1568.78</v>
      </c>
      <c r="G18" s="29">
        <f>0.7*F18</f>
        <v/>
      </c>
      <c r="H18" s="29" t="n">
        <v>549.073</v>
      </c>
      <c r="I18" s="30" t="inlineStr">
        <is>
          <t>No</t>
        </is>
      </c>
    </row>
    <row r="19" ht="18" customHeight="1" s="13">
      <c r="A19" s="31" t="inlineStr">
        <is>
          <t>5061796966</t>
        </is>
      </c>
      <c r="B19" s="32" t="inlineStr">
        <is>
          <t>15, Preston Road, Birmingham, B18 4PL</t>
        </is>
      </c>
      <c r="C19" s="33" t="n">
        <v>44342</v>
      </c>
      <c r="D19" s="33" t="n"/>
      <c r="E19" s="34" t="inlineStr">
        <is>
          <t>A</t>
        </is>
      </c>
      <c r="F19" s="35" t="n">
        <v>1568.78</v>
      </c>
      <c r="G19" s="35">
        <f>0.7*F19</f>
        <v/>
      </c>
      <c r="H19" s="35" t="n">
        <v>549.073</v>
      </c>
      <c r="I19" s="36" t="inlineStr">
        <is>
          <t>No</t>
        </is>
      </c>
    </row>
    <row r="20" ht="18" customHeight="1" s="13">
      <c r="A20" s="25" t="inlineStr">
        <is>
          <t>5061797049</t>
        </is>
      </c>
      <c r="B20" s="26" t="inlineStr">
        <is>
          <t>227/231, Dudley Road, Birmingham, B18 4EJ</t>
        </is>
      </c>
      <c r="C20" s="27" t="n">
        <v>43891</v>
      </c>
      <c r="D20" s="27" t="n"/>
      <c r="E20" s="28" t="inlineStr">
        <is>
          <t>B</t>
        </is>
      </c>
      <c r="F20" s="29" t="n">
        <v>1830.25</v>
      </c>
      <c r="G20" s="29">
        <f>0.7*F20</f>
        <v/>
      </c>
      <c r="H20" s="29" t="n">
        <v>640.5875</v>
      </c>
      <c r="I20" s="30" t="inlineStr">
        <is>
          <t>No</t>
        </is>
      </c>
    </row>
    <row r="21" ht="18" customHeight="1" s="13">
      <c r="A21" s="31" t="inlineStr">
        <is>
          <t>5061797221</t>
        </is>
      </c>
      <c r="B21" s="32" t="inlineStr">
        <is>
          <t>29, York Road, Birmingham, B21 9EB</t>
        </is>
      </c>
      <c r="C21" s="33" t="n">
        <v>43511</v>
      </c>
      <c r="D21" s="33" t="n"/>
      <c r="E21" s="34" t="inlineStr">
        <is>
          <t>A</t>
        </is>
      </c>
      <c r="F21" s="35" t="n">
        <v>1568.78</v>
      </c>
      <c r="G21" s="35">
        <f>0.7*F21</f>
        <v/>
      </c>
      <c r="H21" s="35" t="n">
        <v>549.073</v>
      </c>
      <c r="I21" s="36" t="inlineStr">
        <is>
          <t>No</t>
        </is>
      </c>
    </row>
    <row r="22" ht="18" customHeight="1" s="13">
      <c r="A22" s="25" t="inlineStr">
        <is>
          <t>5061797414</t>
        </is>
      </c>
      <c r="B22" s="26" t="inlineStr">
        <is>
          <t>86, Selsey Road, Birmingham, B17 8JS</t>
        </is>
      </c>
      <c r="C22" s="27" t="n">
        <v>43822</v>
      </c>
      <c r="D22" s="27" t="n"/>
      <c r="E22" s="28" t="inlineStr">
        <is>
          <t>A</t>
        </is>
      </c>
      <c r="F22" s="29" t="n">
        <v>1568.78</v>
      </c>
      <c r="G22" s="29">
        <f>0.7*F22</f>
        <v/>
      </c>
      <c r="H22" s="29" t="n">
        <v>549.073</v>
      </c>
      <c r="I22" s="30" t="inlineStr">
        <is>
          <t>No</t>
        </is>
      </c>
    </row>
    <row r="23" ht="18" customHeight="1" s="13">
      <c r="A23" s="31" t="inlineStr">
        <is>
          <t>5061963727</t>
        </is>
      </c>
      <c r="B23" s="32" t="inlineStr">
        <is>
          <t>Flat At, 229/231, Alum Rock Road, Birmingham, B8 3BH</t>
        </is>
      </c>
      <c r="C23" s="33" t="n">
        <v>43951</v>
      </c>
      <c r="D23" s="33" t="n"/>
      <c r="E23" s="34" t="inlineStr">
        <is>
          <t>A</t>
        </is>
      </c>
      <c r="F23" s="35" t="n">
        <v>1568.78</v>
      </c>
      <c r="G23" s="35">
        <f>0.7*F23</f>
        <v/>
      </c>
      <c r="H23" s="35" t="n">
        <v>549.073</v>
      </c>
      <c r="I23" s="36" t="inlineStr">
        <is>
          <t>No</t>
        </is>
      </c>
    </row>
    <row r="24" ht="18" customHeight="1" s="13">
      <c r="A24" s="25" t="inlineStr">
        <is>
          <t>5062227348</t>
        </is>
      </c>
      <c r="B24" s="26" t="inlineStr">
        <is>
          <t>47, Thorncliffe Road, Birmingham, B44 9DB</t>
        </is>
      </c>
      <c r="C24" s="27" t="n">
        <v>45358</v>
      </c>
      <c r="D24" s="27" t="n"/>
      <c r="E24" s="28" t="inlineStr">
        <is>
          <t>B</t>
        </is>
      </c>
      <c r="F24" s="29" t="n">
        <v>1830.25</v>
      </c>
      <c r="G24" s="29">
        <f>0.7*F24</f>
        <v/>
      </c>
      <c r="H24" s="29" t="n">
        <v>640.5875</v>
      </c>
      <c r="I24" s="30" t="inlineStr">
        <is>
          <t>No</t>
        </is>
      </c>
    </row>
    <row r="25" ht="18" customHeight="1" s="13">
      <c r="A25" s="31" t="inlineStr">
        <is>
          <t>5062740817</t>
        </is>
      </c>
      <c r="B25" s="32" t="inlineStr">
        <is>
          <t>1st Floor Flats, 161, Lozells Road, Birmingham, B19 2TP</t>
        </is>
      </c>
      <c r="C25" s="33" t="n">
        <v>45170</v>
      </c>
      <c r="D25" s="33" t="n"/>
      <c r="E25" s="34" t="inlineStr">
        <is>
          <t>A</t>
        </is>
      </c>
      <c r="F25" s="35" t="n">
        <v>1568.78</v>
      </c>
      <c r="G25" s="35" t="n">
        <v>1568.78</v>
      </c>
      <c r="H25" s="35">
        <f>G25/2</f>
        <v/>
      </c>
      <c r="I25" s="36" t="inlineStr">
        <is>
          <t>No</t>
        </is>
      </c>
    </row>
    <row r="26" ht="18" customHeight="1" s="13">
      <c r="A26" s="25" t="inlineStr">
        <is>
          <t>5062741070</t>
        </is>
      </c>
      <c r="B26" s="26" t="inlineStr">
        <is>
          <t>2nd Floor Flats, 161, Lozells Road, Birmingham, B19 2TP</t>
        </is>
      </c>
      <c r="C26" s="27" t="n">
        <v>45170</v>
      </c>
      <c r="D26" s="27" t="n"/>
      <c r="E26" s="28" t="inlineStr">
        <is>
          <t>A</t>
        </is>
      </c>
      <c r="F26" s="29" t="n">
        <v>1568.78</v>
      </c>
      <c r="G26" s="29" t="n">
        <v>1568.78</v>
      </c>
      <c r="H26" s="29">
        <f>G26/2</f>
        <v/>
      </c>
      <c r="I26" s="30" t="inlineStr">
        <is>
          <t>No</t>
        </is>
      </c>
    </row>
    <row r="27" ht="18" customHeight="1" s="13">
      <c r="A27" s="31" t="inlineStr">
        <is>
          <t>5063074516</t>
        </is>
      </c>
      <c r="B27" s="32" t="inlineStr">
        <is>
          <t>70, Thornhill Road, Birmingham, B21 9BU</t>
        </is>
      </c>
      <c r="C27" s="33" t="n">
        <v>45617</v>
      </c>
      <c r="D27" s="33" t="n"/>
      <c r="E27" s="34" t="inlineStr">
        <is>
          <t>B</t>
        </is>
      </c>
      <c r="F27" s="35" t="n">
        <v>1830.25</v>
      </c>
      <c r="G27" s="35">
        <f>0.7*F27</f>
        <v/>
      </c>
      <c r="H27" s="35" t="n">
        <v>640.5875</v>
      </c>
      <c r="I27" s="36" t="inlineStr">
        <is>
          <t>No</t>
        </is>
      </c>
    </row>
    <row r="28" ht="18" customHeight="1" s="13">
      <c r="A28" s="25" t="inlineStr">
        <is>
          <t>5063698038</t>
        </is>
      </c>
      <c r="B28" s="26" t="inlineStr">
        <is>
          <t>129, Slade Road, Birmingham, B23 7QU</t>
        </is>
      </c>
      <c r="C28" s="27" t="n">
        <v>45768</v>
      </c>
      <c r="D28" s="27" t="n"/>
      <c r="E28" s="28" t="inlineStr">
        <is>
          <t>A</t>
        </is>
      </c>
      <c r="F28" s="29" t="n">
        <v>1568.78</v>
      </c>
      <c r="G28" s="29">
        <f>0.7*F28</f>
        <v/>
      </c>
      <c r="H28" s="29" t="n">
        <v>549.073</v>
      </c>
      <c r="I28" s="30" t="inlineStr">
        <is>
          <t>No</t>
        </is>
      </c>
    </row>
    <row r="29" ht="18" customHeight="1" s="13">
      <c r="A29" s="31" t="inlineStr">
        <is>
          <t>5064362891</t>
        </is>
      </c>
      <c r="B29" s="32" t="inlineStr">
        <is>
          <t>585, Queslett Road, Birmingham, B43 7ER</t>
        </is>
      </c>
      <c r="C29" s="33" t="n">
        <v>45943</v>
      </c>
      <c r="D29" s="33" t="n"/>
      <c r="E29" s="34" t="inlineStr">
        <is>
          <t>B</t>
        </is>
      </c>
      <c r="F29" s="35" t="n">
        <v>1830.25</v>
      </c>
      <c r="G29" s="35">
        <f>0.7*F29</f>
        <v/>
      </c>
      <c r="H29" s="35" t="n">
        <v>640.5875</v>
      </c>
      <c r="I29" s="36" t="inlineStr">
        <is>
          <t>No</t>
        </is>
      </c>
    </row>
    <row r="30" ht="18" customHeight="1" s="13">
      <c r="A30" s="25" t="inlineStr">
        <is>
          <t>5064365287</t>
        </is>
      </c>
      <c r="B30" s="26" t="inlineStr">
        <is>
          <t>112, Preston Road, Birmingham, B18 4PJ</t>
        </is>
      </c>
      <c r="C30" s="27" t="n">
        <v>45950</v>
      </c>
      <c r="D30" s="27" t="n"/>
      <c r="E30" s="28" t="inlineStr">
        <is>
          <t>A</t>
        </is>
      </c>
      <c r="F30" s="29" t="n">
        <v>1568.78</v>
      </c>
      <c r="G30" s="29">
        <f>0.7*F30</f>
        <v/>
      </c>
      <c r="H30" s="29" t="n">
        <v>549.073</v>
      </c>
      <c r="I30" s="30" t="inlineStr">
        <is>
          <t>No</t>
        </is>
      </c>
    </row>
    <row r="31" ht="18" customHeight="1" s="13" thickBot="1">
      <c r="A31" s="31" t="inlineStr">
        <is>
          <t>5064514795</t>
        </is>
      </c>
      <c r="B31" s="32" t="inlineStr">
        <is>
          <t>28, Fernley Road, Birmingham, B11 3NS</t>
        </is>
      </c>
      <c r="C31" s="33" t="n">
        <v>46008</v>
      </c>
      <c r="D31" s="33" t="n"/>
      <c r="E31" s="34" t="inlineStr">
        <is>
          <t>B</t>
        </is>
      </c>
      <c r="F31" s="35" t="n">
        <v>1830.25</v>
      </c>
      <c r="G31" s="35">
        <f>0.7*F31</f>
        <v/>
      </c>
      <c r="H31" s="35" t="n">
        <v>640.5875</v>
      </c>
      <c r="I31" s="36" t="inlineStr">
        <is>
          <t>No</t>
        </is>
      </c>
    </row>
    <row r="32" ht="22" customHeight="1" s="13" thickBot="1">
      <c r="A32" s="37" t="inlineStr">
        <is>
          <t>TOTALS  (28 properties)</t>
        </is>
      </c>
      <c r="B32" s="44" t="n"/>
      <c r="C32" s="44" t="n"/>
      <c r="D32" s="44" t="n"/>
      <c r="E32" s="45" t="n"/>
      <c r="F32" s="39">
        <f>SUM(F6:F31)</f>
        <v/>
      </c>
      <c r="G32" s="39">
        <f>SUM(G6:G31)</f>
        <v/>
      </c>
      <c r="H32" s="39">
        <f>SUM(H6:H31)</f>
        <v/>
      </c>
      <c r="I32" s="38" t="n"/>
    </row>
    <row r="33" ht="6" customHeight="1" s="13"/>
    <row r="34" ht="18" customHeight="1" s="13">
      <c r="A34" s="86" t="inlineStr">
        <is>
          <t>Generated by Ash-Shahada Housing Association Ltd  |  Birmingham City Council - Council Tax 2026/27</t>
        </is>
      </c>
    </row>
    <row r="35" ht="6" customHeight="1" s="13"/>
    <row r="36" ht="6" customHeight="1" s="13"/>
    <row r="37" ht="6" customHeight="1" s="13"/>
    <row r="38" ht="22" customHeight="1" s="13">
      <c r="A38" s="41" t="inlineStr">
        <is>
          <t>Self-Contained Properties (Council Tax Exempt)</t>
        </is>
      </c>
      <c r="B38" s="41" t="n"/>
      <c r="C38" s="41" t="n"/>
      <c r="D38" s="41" t="n"/>
      <c r="E38" s="41" t="n"/>
      <c r="F38" s="41" t="n"/>
      <c r="G38" s="41" t="n"/>
      <c r="H38" s="41" t="n"/>
      <c r="I38" s="41" t="n"/>
    </row>
    <row r="39" ht="18" customHeight="1" s="13">
      <c r="A39" s="25" t="inlineStr">
        <is>
          <t>5061045242</t>
        </is>
      </c>
      <c r="B39" s="26" t="inlineStr">
        <is>
          <t>Flat Rear Of, 1170, Coventry Road, Birmingham, B25 8DA</t>
        </is>
      </c>
      <c r="C39" s="27" t="n">
        <v>44883</v>
      </c>
      <c r="D39" s="27" t="n"/>
      <c r="E39" s="28" t="inlineStr">
        <is>
          <t>A</t>
        </is>
      </c>
      <c r="F39" s="29" t="n">
        <v>1568.78</v>
      </c>
      <c r="G39" s="42" t="inlineStr">
        <is>
          <t>—</t>
        </is>
      </c>
      <c r="H39" s="42" t="inlineStr">
        <is>
          <t>—</t>
        </is>
      </c>
      <c r="I39" s="30" t="inlineStr">
        <is>
          <t>Yes</t>
        </is>
      </c>
    </row>
    <row r="40" ht="18" customHeight="1" s="13">
      <c r="A40" s="31" t="inlineStr">
        <is>
          <t>5061967990</t>
        </is>
      </c>
      <c r="B40" s="32" t="inlineStr">
        <is>
          <t>Maisonette 1st &amp; 2nd Floors, 102, Soho Road, Birmingham, B21 9DP</t>
        </is>
      </c>
      <c r="C40" s="33" t="n">
        <v>43587</v>
      </c>
      <c r="D40" s="33" t="n"/>
      <c r="E40" s="34" t="inlineStr">
        <is>
          <t>A</t>
        </is>
      </c>
      <c r="F40" s="35" t="n">
        <v>1568.78</v>
      </c>
      <c r="G40" s="43" t="inlineStr">
        <is>
          <t>—</t>
        </is>
      </c>
      <c r="H40" s="43" t="inlineStr">
        <is>
          <t>—</t>
        </is>
      </c>
      <c r="I40" s="36" t="inlineStr">
        <is>
          <t>Yes</t>
        </is>
      </c>
    </row>
    <row r="41" ht="10" customHeight="1" s="13"/>
    <row r="42" ht="26" customHeight="1" s="13">
      <c r="A42" s="85" t="inlineStr">
        <is>
          <t>DEDUCTION PAYMENT SCHEDULE</t>
        </is>
      </c>
      <c r="B42" s="69" t="n"/>
      <c r="C42" s="69" t="n"/>
      <c r="D42" s="69" t="n"/>
      <c r="E42" s="69" t="n"/>
      <c r="F42" s="69" t="n"/>
      <c r="G42" s="69" t="n"/>
      <c r="H42" s="69" t="n"/>
      <c r="I42" s="70" t="n"/>
    </row>
    <row r="43" ht="30" customHeight="1" s="13">
      <c r="A43" s="65" t="inlineStr">
        <is>
          <t xml:space="preserve">  ►  Remittance 1  —  First Instalment</t>
        </is>
      </c>
      <c r="B43" s="79" t="n"/>
      <c r="C43" s="79" t="n"/>
      <c r="D43" s="79" t="n"/>
      <c r="E43" s="79" t="n"/>
      <c r="F43" s="80" t="n"/>
      <c r="G43" s="66">
        <f>H32/2</f>
        <v/>
      </c>
      <c r="H43" s="79" t="n"/>
      <c r="I43" s="81" t="n"/>
    </row>
    <row r="44" ht="30" customHeight="1" s="13">
      <c r="A44" s="67" t="inlineStr">
        <is>
          <t xml:space="preserve">  ►  Remittance 2  —  Final Instalment</t>
        </is>
      </c>
      <c r="B44" s="82" t="n"/>
      <c r="C44" s="82" t="n"/>
      <c r="D44" s="82" t="n"/>
      <c r="E44" s="82" t="n"/>
      <c r="F44" s="83" t="n"/>
      <c r="G44" s="68">
        <f>H32/2</f>
        <v/>
      </c>
      <c r="H44" s="82" t="n"/>
      <c r="I44" s="84" t="n"/>
    </row>
    <row r="45" ht="10" customHeight="1" s="13"/>
    <row r="46" ht="28" customHeight="1" s="13">
      <c r="A46" s="87" t="inlineStr">
        <is>
          <t>HOW TO READ THIS STATEMENT</t>
        </is>
      </c>
    </row>
    <row r="47" ht="52" customHeight="1" s="13">
      <c r="A47" s="55" t="inlineStr">
        <is>
          <t xml:space="preserve">  ►  Annual Charge (£)</t>
        </is>
      </c>
      <c r="C47" s="56" t="inlineStr">
        <is>
          <t>The full council tax charge assessed by Birmingham City Council for the billing year 01 April 2026 – 31 March 2027. This is the gross amount before any discounts or deductions are applied.</t>
        </is>
      </c>
    </row>
    <row r="48" ht="52" customHeight="1" s="13">
      <c r="A48" s="57" t="inlineStr">
        <is>
          <t xml:space="preserve">  ►  How the 70% Outstanding Charge is Calculated</t>
        </is>
      </c>
      <c r="C48" s="58" t="inlineStr">
        <is>
          <t>Birmingham City Council grants a 50% council tax discount to supported housing (HMO) properties. Ash-Shahada Housing Association Ltd applies an additional 20% admin/management charge. The total outstanding charge therefore equals 70% of the Annual Charge  (50% council tax + 20% admin = 70%).</t>
        </is>
      </c>
    </row>
    <row r="49" ht="52" customHeight="1" s="13">
      <c r="A49" s="55" t="inlineStr">
        <is>
          <t xml:space="preserve">  ►  6-Month Deduction at 35% (£)</t>
        </is>
      </c>
      <c r="C49" s="56" t="inlineStr">
        <is>
          <t>This statement covers 6 months of the billing year. The amount due for this period is 50% of the 70% outstanding charge, which equals 35% of the Annual Charge. This is the amount being claimed from your organisation for this billing period.</t>
        </is>
      </c>
    </row>
    <row r="50" ht="52" customHeight="1" s="13">
      <c r="A50" s="59" t="inlineStr">
        <is>
          <t xml:space="preserve">  ►  Self-Contained Properties — Tenant Responsibility Only</t>
        </is>
      </c>
      <c r="C50" s="60" t="inlineStr">
        <is>
          <t>Ash-Shahada Housing Association Ltd is NOT responsible for council tax on self-contained units. The council tax liability for these properties rests solely with the individual tenant. For this reason, no deduction is made for self-contained properties in this statement.</t>
        </is>
      </c>
    </row>
    <row r="51" ht="52" customHeight="1" s="13">
      <c r="A51" s="88" t="inlineStr">
        <is>
          <t xml:space="preserve">  ►  IMPORTANT — Please Report Any Discrepancies</t>
        </is>
      </c>
      <c r="C51" s="89" t="inlineStr">
        <is>
          <t>If you identify any discrepancy in this statement, please contact Ash-Shahada Housing Association Ltd immediately. In particular, if any property listed as Self-Contained in this statement is actually being used as an HMO (House in Multiple Occupation), you MUST inform us — HMO properties receive a different council tax discount rate and the charge will need to be recalculated. Please email us to report any such issues as soon as possible.</t>
        </is>
      </c>
    </row>
    <row r="52" ht="52" customHeight="1" s="13">
      <c r="A52" s="90" t="inlineStr">
        <is>
          <t xml:space="preserve">  ►  Property Not in This List — Please Inform Us</t>
        </is>
      </c>
      <c r="C52" s="91" t="inlineStr">
        <is>
          <t>If any property under your management is NOT included in this statement, please contact Ash-Shahada Housing Association Ltd immediately. It is essential that all properties managed by your organisation are accounted for so that the correct council tax charges can be assessed and applied. Missing properties may result in outstanding council tax liability — please notify us as soon as possible.</t>
        </is>
      </c>
    </row>
    <row r="53" ht="16" customHeight="1" s="13">
      <c r="A53" s="92" t="inlineStr">
        <is>
          <t>For all queries and discrepancy reports, please contact Ash-Shahada Housing Association Ltd  |  Birmingham City Council - Council Tax 2026/27</t>
        </is>
      </c>
    </row>
  </sheetData>
  <mergeCells count="25">
    <mergeCell ref="A48:B48"/>
    <mergeCell ref="C52:I52"/>
    <mergeCell ref="C48:I48"/>
    <mergeCell ref="A46:I46"/>
    <mergeCell ref="A51:B51"/>
    <mergeCell ref="A49:B49"/>
    <mergeCell ref="G3:I3"/>
    <mergeCell ref="A3:F3"/>
    <mergeCell ref="A2:I2"/>
    <mergeCell ref="A42:I42"/>
    <mergeCell ref="C49:I49"/>
    <mergeCell ref="A53:I53"/>
    <mergeCell ref="A43:F43"/>
    <mergeCell ref="A50:B50"/>
    <mergeCell ref="G44:I44"/>
    <mergeCell ref="A44:F44"/>
    <mergeCell ref="A47:B47"/>
    <mergeCell ref="A32:E32"/>
    <mergeCell ref="C47:I47"/>
    <mergeCell ref="A34:I34"/>
    <mergeCell ref="G43:I43"/>
    <mergeCell ref="C50:I50"/>
    <mergeCell ref="A52:B52"/>
    <mergeCell ref="A1:I1"/>
    <mergeCell ref="C51:I51"/>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2026-04-21T15:15:38Z</dcterms:created>
  <dcterms:modified xmlns:dcterms="http://purl.org/dc/terms/" xmlns:xsi="http://www.w3.org/2001/XMLSchema-instance" xsi:type="dcterms:W3CDTF">2026-04-26T17:30:35Z</dcterms:modified>
  <cp:lastModifiedBy>SAP</cp:lastModifiedBy>
</cp:coreProperties>
</file>